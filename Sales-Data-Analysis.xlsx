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\iSwap\Assignments\"/>
    </mc:Choice>
  </mc:AlternateContent>
  <xr:revisionPtr revIDLastSave="0" documentId="13_ncr:1_{D6AC6B83-09C5-4B35-9B91-F442347245C6}" xr6:coauthVersionLast="47" xr6:coauthVersionMax="47" xr10:uidLastSave="{00000000-0000-0000-0000-000000000000}"/>
  <bookViews>
    <workbookView xWindow="-110" yWindow="-110" windowWidth="19420" windowHeight="10300" activeTab="2" xr2:uid="{F6AABB17-3BA7-48F3-BDE3-45143139EF15}"/>
  </bookViews>
  <sheets>
    <sheet name="Sales-Data-Analysis" sheetId="1" r:id="rId1"/>
    <sheet name="Pivot Table" sheetId="3" state="hidden" r:id="rId2"/>
    <sheet name="Dashboard" sheetId="2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A71" i="3"/>
  <c r="A67" i="3"/>
  <c r="A63" i="3"/>
  <c r="A59" i="3"/>
  <c r="A55" i="3"/>
</calcChain>
</file>

<file path=xl/sharedStrings.xml><?xml version="1.0" encoding="utf-8"?>
<sst xmlns="http://schemas.openxmlformats.org/spreadsheetml/2006/main" count="146" uniqueCount="42">
  <si>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</si>
  <si>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</si>
  <si>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</si>
  <si>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</si>
  <si>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</si>
  <si>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</si>
  <si>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</si>
  <si>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</si>
  <si>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</si>
  <si>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</si>
  <si>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</si>
  <si>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</si>
  <si>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London</t>
  </si>
  <si>
    <t>Beverages</t>
  </si>
  <si>
    <t>Madrid</t>
  </si>
  <si>
    <t>Sides &amp; Other</t>
  </si>
  <si>
    <t xml:space="preserve">In-store </t>
  </si>
  <si>
    <t>Lisbon</t>
  </si>
  <si>
    <t>Burgers</t>
  </si>
  <si>
    <t xml:space="preserve"> Credit Card</t>
  </si>
  <si>
    <t>Walter Muller</t>
  </si>
  <si>
    <t>Berlin</t>
  </si>
  <si>
    <t>Chicken Sandwiches</t>
  </si>
  <si>
    <t>Paris</t>
  </si>
  <si>
    <t>Remy Monet</t>
  </si>
  <si>
    <t>Pablo Perez</t>
  </si>
  <si>
    <t>Tom Jackson</t>
  </si>
  <si>
    <t>Joao Silva</t>
  </si>
  <si>
    <t>Row Labels</t>
  </si>
  <si>
    <t>Grand Total</t>
  </si>
  <si>
    <t>Product by Quantity</t>
  </si>
  <si>
    <t>Revenue</t>
  </si>
  <si>
    <t>Product by Revenue</t>
  </si>
  <si>
    <t>Revenue by Manager</t>
  </si>
  <si>
    <t>Revenue by City</t>
  </si>
  <si>
    <t>Revenue by Date</t>
  </si>
  <si>
    <t>StdDev of Revenue</t>
  </si>
  <si>
    <t>StdDev of Quantity</t>
  </si>
  <si>
    <t>Var of Revenue</t>
  </si>
  <si>
    <t>Var of Quantity</t>
  </si>
  <si>
    <t>Average Quantity</t>
  </si>
  <si>
    <t>Average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</si>
</sst>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/>
    <xf numFmtId="14" fontId="0" fillId="0" borderId="0" xfId="0" applyNumberFormat="1" applyAlignment="1">
      <alignment horizontal="lef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1D-4DA1-9C30-765F5D62A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1D-4DA1-9C30-765F5D62A943}"/>
              </c:ext>
            </c:extLst>
          </c:dPt>
          <c:cat>
            <c:strRef>
              <c:f>'Pivot Table'!$A$4:$A$6</c:f>
              <c:strCache>
                <c:ptCount val="2"/>
                <c:pt idx="0">
                  <c:v> Credit Card</c:v>
                </c:pt>
                <c:pt idx="1">
                  <c:v> Gift Card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12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9-43F5-8E5B-3DC8BD40B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PRODUCT BY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Table'!$A$10:$A$15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Table'!$B$10:$B$15</c:f>
              <c:numCache>
                <c:formatCode>General</c:formatCode>
                <c:ptCount val="5"/>
                <c:pt idx="0">
                  <c:v>1423.73</c:v>
                </c:pt>
                <c:pt idx="1">
                  <c:v>1678.21</c:v>
                </c:pt>
                <c:pt idx="2">
                  <c:v>603.03</c:v>
                </c:pt>
                <c:pt idx="3">
                  <c:v>2292.2800000000002</c:v>
                </c:pt>
                <c:pt idx="4">
                  <c:v>601.20000000000005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2-4CB7-BAFC-BC6FBB0D3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94864"/>
        <c:axId val="192501104"/>
      </c:barChart>
      <c:catAx>
        <c:axId val="19249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1104"/>
        <c:crosses val="autoZero"/>
        <c:auto val="1"/>
        <c:lblAlgn val="ctr"/>
        <c:lblOffset val="100"/>
        <c:noMultiLvlLbl val="0"/>
      </c:catAx>
      <c:valAx>
        <c:axId val="19250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9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PRODUCT</a:t>
            </a:r>
            <a:r>
              <a:rPr lang="en-US" b="1" baseline="0">
                <a:solidFill>
                  <a:srgbClr val="002060"/>
                </a:solidFill>
              </a:rPr>
              <a:t> BY REVENUE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Table'!$A$19:$A$24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Table'!$B$19:$B$24</c:f>
              <c:numCache>
                <c:formatCode>0.00</c:formatCode>
                <c:ptCount val="5"/>
                <c:pt idx="0">
                  <c:v>4200.0035000000007</c:v>
                </c:pt>
                <c:pt idx="1">
                  <c:v>21799.947899999999</c:v>
                </c:pt>
                <c:pt idx="2">
                  <c:v>6000.1484999999993</c:v>
                </c:pt>
                <c:pt idx="3">
                  <c:v>8000.0572000000011</c:v>
                </c:pt>
                <c:pt idx="4">
                  <c:v>2999.9880000000003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5-4FF8-839C-283BDF8E2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93424"/>
        <c:axId val="192491024"/>
      </c:barChart>
      <c:catAx>
        <c:axId val="19249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91024"/>
        <c:crosses val="autoZero"/>
        <c:auto val="1"/>
        <c:lblAlgn val="ctr"/>
        <c:lblOffset val="100"/>
        <c:noMultiLvlLbl val="0"/>
      </c:catAx>
      <c:valAx>
        <c:axId val="19249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9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</a:rPr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Table'!$A$28:$A$33</c:f>
              <c:strCache>
                <c:ptCount val="5"/>
                <c:pt idx="0">
                  <c:v>Berlin</c:v>
                </c:pt>
                <c:pt idx="1">
                  <c:v>Lisbon</c:v>
                </c:pt>
                <c:pt idx="2">
                  <c:v>London</c:v>
                </c:pt>
                <c:pt idx="3">
                  <c:v>Madrid</c:v>
                </c:pt>
                <c:pt idx="4">
                  <c:v>Paris</c:v>
                </c:pt>
              </c:strCache>
            </c:strRef>
          </c:cat>
          <c:val>
            <c:numRef>
              <c:f>'Pivot Table'!$B$28:$B$33</c:f>
              <c:numCache>
                <c:formatCode>0.00</c:formatCode>
                <c:ptCount val="5"/>
                <c:pt idx="0">
                  <c:v>10400.058799999999</c:v>
                </c:pt>
                <c:pt idx="1">
                  <c:v>999.99600000000009</c:v>
                </c:pt>
                <c:pt idx="2">
                  <c:v>2000.0143000000003</c:v>
                </c:pt>
                <c:pt idx="3">
                  <c:v>13400.0231</c:v>
                </c:pt>
                <c:pt idx="4">
                  <c:v>16200.052900000002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D-4155-8D25-AD3CAA582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501584"/>
        <c:axId val="192500144"/>
      </c:barChart>
      <c:catAx>
        <c:axId val="19250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0144"/>
        <c:crosses val="autoZero"/>
        <c:auto val="1"/>
        <c:lblAlgn val="ctr"/>
        <c:lblOffset val="100"/>
        <c:noMultiLvlLbl val="0"/>
      </c:catAx>
      <c:valAx>
        <c:axId val="19250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</a:rPr>
              <a:t>REVENUE BY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Table'!$A$37:$A$42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'Pivot Table'!$B$37:$B$42</c:f>
              <c:numCache>
                <c:formatCode>0.00</c:formatCode>
                <c:ptCount val="5"/>
                <c:pt idx="0">
                  <c:v>999.99600000000009</c:v>
                </c:pt>
                <c:pt idx="1">
                  <c:v>13400.0231</c:v>
                </c:pt>
                <c:pt idx="2">
                  <c:v>16200.052900000002</c:v>
                </c:pt>
                <c:pt idx="3">
                  <c:v>2000.0143000000003</c:v>
                </c:pt>
                <c:pt idx="4">
                  <c:v>10400.058799999999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9-4018-ADCB-90BDB362B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472304"/>
        <c:axId val="192479984"/>
      </c:barChart>
      <c:catAx>
        <c:axId val="19247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9984"/>
        <c:crosses val="autoZero"/>
        <c:auto val="1"/>
        <c:lblAlgn val="ctr"/>
        <c:lblOffset val="100"/>
        <c:noMultiLvlLbl val="0"/>
      </c:catAx>
      <c:valAx>
        <c:axId val="19247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</a:rPr>
              <a:t>REVENUE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Table'!$A$46:$A$50</c:f>
              <c:strCache>
                <c:ptCount val="4"/>
                <c:pt idx="0">
                  <c:v>07/11/2022</c:v>
                </c:pt>
                <c:pt idx="1">
                  <c:v>08/11/2022</c:v>
                </c:pt>
                <c:pt idx="2">
                  <c:v>09/11/2022</c:v>
                </c:pt>
                <c:pt idx="3">
                  <c:v>10/11/2022</c:v>
                </c:pt>
              </c:strCache>
            </c:strRef>
          </c:cat>
          <c:val>
            <c:numRef>
              <c:f>'Pivot Table'!$B$46:$B$50</c:f>
              <c:numCache>
                <c:formatCode>0.00</c:formatCode>
                <c:ptCount val="4"/>
                <c:pt idx="0">
                  <c:v>5200.002300000001</c:v>
                </c:pt>
                <c:pt idx="1">
                  <c:v>12400.073100000001</c:v>
                </c:pt>
                <c:pt idx="2">
                  <c:v>14200.0386</c:v>
                </c:pt>
                <c:pt idx="3">
                  <c:v>11200.0311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A5-46B7-87E5-12C231E6A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72784"/>
        <c:axId val="192478544"/>
      </c:lineChart>
      <c:catAx>
        <c:axId val="19247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8544"/>
        <c:crosses val="autoZero"/>
        <c:auto val="1"/>
        <c:lblAlgn val="ctr"/>
        <c:lblOffset val="100"/>
        <c:noMultiLvlLbl val="0"/>
      </c:catAx>
      <c:valAx>
        <c:axId val="19247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</a:rPr>
              <a:t>AVERAGE QUANTITY FOR EACH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Table'!$A$74:$A$79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Table'!$B$74:$B$79</c:f>
              <c:numCache>
                <c:formatCode>General</c:formatCode>
                <c:ptCount val="5"/>
                <c:pt idx="0">
                  <c:v>711.86500000000001</c:v>
                </c:pt>
                <c:pt idx="1">
                  <c:v>559.40333333333331</c:v>
                </c:pt>
                <c:pt idx="2">
                  <c:v>201.01</c:v>
                </c:pt>
                <c:pt idx="3">
                  <c:v>573.07000000000005</c:v>
                </c:pt>
                <c:pt idx="4">
                  <c:v>200.4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A-4B87-BCC1-C20766EB1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03504"/>
        <c:axId val="192503984"/>
      </c:barChart>
      <c:catAx>
        <c:axId val="19250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3984"/>
        <c:crosses val="autoZero"/>
        <c:auto val="1"/>
        <c:lblAlgn val="ctr"/>
        <c:lblOffset val="100"/>
        <c:noMultiLvlLbl val="0"/>
      </c:catAx>
      <c:valAx>
        <c:axId val="19250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</a:rPr>
              <a:t>AVERAGE REVENUE FOR EACH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Table'!$A$84:$A$89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Table'!$B$84:$B$89</c:f>
              <c:numCache>
                <c:formatCode>0.00</c:formatCode>
                <c:ptCount val="5"/>
                <c:pt idx="0">
                  <c:v>2100.0017500000004</c:v>
                </c:pt>
                <c:pt idx="1">
                  <c:v>7266.6493</c:v>
                </c:pt>
                <c:pt idx="2">
                  <c:v>2000.0494999999999</c:v>
                </c:pt>
                <c:pt idx="3">
                  <c:v>2000.0143000000003</c:v>
                </c:pt>
                <c:pt idx="4">
                  <c:v>999.99600000000009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F-4932-AFBB-BBD64FE1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57904"/>
        <c:axId val="192443984"/>
      </c:barChart>
      <c:catAx>
        <c:axId val="19245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43984"/>
        <c:crosses val="autoZero"/>
        <c:auto val="1"/>
        <c:lblAlgn val="ctr"/>
        <c:lblOffset val="100"/>
        <c:noMultiLvlLbl val="0"/>
      </c:catAx>
      <c:valAx>
        <c:axId val="19244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5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PRODUCT</a:t>
            </a:r>
            <a:r>
              <a:rPr lang="en-US" b="1" baseline="0">
                <a:solidFill>
                  <a:srgbClr val="002060"/>
                </a:solidFill>
              </a:rPr>
              <a:t> BY REVENUE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Table'!$A$19:$A$24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Table'!$B$19:$B$24</c:f>
              <c:numCache>
                <c:formatCode>0.00</c:formatCode>
                <c:ptCount val="5"/>
                <c:pt idx="0">
                  <c:v>4200.0035000000007</c:v>
                </c:pt>
                <c:pt idx="1">
                  <c:v>21799.947899999999</c:v>
                </c:pt>
                <c:pt idx="2">
                  <c:v>6000.1484999999993</c:v>
                </c:pt>
                <c:pt idx="3">
                  <c:v>8000.0572000000011</c:v>
                </c:pt>
                <c:pt idx="4">
                  <c:v>2999.9880000000003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2-46B8-AF81-6BD41414C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93424"/>
        <c:axId val="192491024"/>
      </c:barChart>
      <c:catAx>
        <c:axId val="19249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91024"/>
        <c:crosses val="autoZero"/>
        <c:auto val="1"/>
        <c:lblAlgn val="ctr"/>
        <c:lblOffset val="100"/>
        <c:noMultiLvlLbl val="0"/>
      </c:catAx>
      <c:valAx>
        <c:axId val="19249102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9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</a:rPr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Table'!$A$28:$A$33</c:f>
              <c:strCache>
                <c:ptCount val="5"/>
                <c:pt idx="0">
                  <c:v>Berlin</c:v>
                </c:pt>
                <c:pt idx="1">
                  <c:v>Lisbon</c:v>
                </c:pt>
                <c:pt idx="2">
                  <c:v>London</c:v>
                </c:pt>
                <c:pt idx="3">
                  <c:v>Madrid</c:v>
                </c:pt>
                <c:pt idx="4">
                  <c:v>Paris</c:v>
                </c:pt>
              </c:strCache>
            </c:strRef>
          </c:cat>
          <c:val>
            <c:numRef>
              <c:f>'Pivot Table'!$B$28:$B$33</c:f>
              <c:numCache>
                <c:formatCode>0.00</c:formatCode>
                <c:ptCount val="5"/>
                <c:pt idx="0">
                  <c:v>10400.058799999999</c:v>
                </c:pt>
                <c:pt idx="1">
                  <c:v>999.99600000000009</c:v>
                </c:pt>
                <c:pt idx="2">
                  <c:v>2000.0143000000003</c:v>
                </c:pt>
                <c:pt idx="3">
                  <c:v>13400.0231</c:v>
                </c:pt>
                <c:pt idx="4">
                  <c:v>16200.052900000002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7-4D6D-8DF7-1423299D5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501584"/>
        <c:axId val="192500144"/>
      </c:barChart>
      <c:catAx>
        <c:axId val="19250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0144"/>
        <c:crosses val="autoZero"/>
        <c:auto val="1"/>
        <c:lblAlgn val="ctr"/>
        <c:lblOffset val="100"/>
        <c:noMultiLvlLbl val="0"/>
      </c:catAx>
      <c:valAx>
        <c:axId val="19250014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</a:rPr>
              <a:t>REVENUE BY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Table'!$A$37:$A$42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'Pivot Table'!$B$37:$B$42</c:f>
              <c:numCache>
                <c:formatCode>0.00</c:formatCode>
                <c:ptCount val="5"/>
                <c:pt idx="0">
                  <c:v>999.99600000000009</c:v>
                </c:pt>
                <c:pt idx="1">
                  <c:v>13400.0231</c:v>
                </c:pt>
                <c:pt idx="2">
                  <c:v>16200.052900000002</c:v>
                </c:pt>
                <c:pt idx="3">
                  <c:v>2000.0143000000003</c:v>
                </c:pt>
                <c:pt idx="4">
                  <c:v>10400.058799999999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E-4717-ABF8-19F0EFBAB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472304"/>
        <c:axId val="192479984"/>
      </c:barChart>
      <c:catAx>
        <c:axId val="192472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9984"/>
        <c:crosses val="autoZero"/>
        <c:auto val="1"/>
        <c:lblAlgn val="ctr"/>
        <c:lblOffset val="100"/>
        <c:noMultiLvlLbl val="0"/>
      </c:catAx>
      <c:valAx>
        <c:axId val="192479984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</a:rPr>
              <a:t>REVENUE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Table'!$A$46:$A$50</c:f>
              <c:strCache>
                <c:ptCount val="4"/>
                <c:pt idx="0">
                  <c:v>07/11/2022</c:v>
                </c:pt>
                <c:pt idx="1">
                  <c:v>08/11/2022</c:v>
                </c:pt>
                <c:pt idx="2">
                  <c:v>09/11/2022</c:v>
                </c:pt>
                <c:pt idx="3">
                  <c:v>10/11/2022</c:v>
                </c:pt>
              </c:strCache>
            </c:strRef>
          </c:cat>
          <c:val>
            <c:numRef>
              <c:f>'Pivot Table'!$B$46:$B$50</c:f>
              <c:numCache>
                <c:formatCode>0.00</c:formatCode>
                <c:ptCount val="4"/>
                <c:pt idx="0">
                  <c:v>5200.002300000001</c:v>
                </c:pt>
                <c:pt idx="1">
                  <c:v>12400.073100000001</c:v>
                </c:pt>
                <c:pt idx="2">
                  <c:v>14200.0386</c:v>
                </c:pt>
                <c:pt idx="3">
                  <c:v>11200.0311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1-4A68-96BE-729F9AAE8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472784"/>
        <c:axId val="192478544"/>
      </c:lineChart>
      <c:catAx>
        <c:axId val="192472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8544"/>
        <c:crosses val="autoZero"/>
        <c:auto val="1"/>
        <c:lblAlgn val="ctr"/>
        <c:lblOffset val="100"/>
        <c:noMultiLvlLbl val="0"/>
      </c:catAx>
      <c:valAx>
        <c:axId val="19247854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</a:rPr>
              <a:t>AVERAGE QUANTITY FOR EACH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Table'!$A$74:$A$79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Table'!$B$74:$B$79</c:f>
              <c:numCache>
                <c:formatCode>General</c:formatCode>
                <c:ptCount val="5"/>
                <c:pt idx="0">
                  <c:v>711.86500000000001</c:v>
                </c:pt>
                <c:pt idx="1">
                  <c:v>559.40333333333331</c:v>
                </c:pt>
                <c:pt idx="2">
                  <c:v>201.01</c:v>
                </c:pt>
                <c:pt idx="3">
                  <c:v>573.07000000000005</c:v>
                </c:pt>
                <c:pt idx="4">
                  <c:v>200.4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9-4C17-9A4E-2BD9F60D6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03504"/>
        <c:axId val="192503984"/>
      </c:barChart>
      <c:catAx>
        <c:axId val="19250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3984"/>
        <c:crosses val="autoZero"/>
        <c:auto val="1"/>
        <c:lblAlgn val="ctr"/>
        <c:lblOffset val="100"/>
        <c:noMultiLvlLbl val="0"/>
      </c:catAx>
      <c:valAx>
        <c:axId val="192503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2060"/>
                </a:solidFill>
              </a:rPr>
              <a:t>AVERAGE REVENUE FOR EACH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Table'!$A$84:$A$89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Table'!$B$84:$B$89</c:f>
              <c:numCache>
                <c:formatCode>0.00</c:formatCode>
                <c:ptCount val="5"/>
                <c:pt idx="0">
                  <c:v>2100.0017500000004</c:v>
                </c:pt>
                <c:pt idx="1">
                  <c:v>7266.6493</c:v>
                </c:pt>
                <c:pt idx="2">
                  <c:v>2000.0494999999999</c:v>
                </c:pt>
                <c:pt idx="3">
                  <c:v>2000.0143000000003</c:v>
                </c:pt>
                <c:pt idx="4">
                  <c:v>999.99600000000009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6-4A3D-AFB0-322A2A48F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57904"/>
        <c:axId val="192443984"/>
      </c:barChart>
      <c:catAx>
        <c:axId val="19245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43984"/>
        <c:crosses val="autoZero"/>
        <c:auto val="1"/>
        <c:lblAlgn val="ctr"/>
        <c:lblOffset val="100"/>
        <c:noMultiLvlLbl val="0"/>
      </c:catAx>
      <c:valAx>
        <c:axId val="19244398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5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4C-4B40-B9FD-2689888EEE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4C-4B40-B9FD-2689888EEE5F}"/>
              </c:ext>
            </c:extLst>
          </c:dPt>
          <c:cat>
            <c:strRef>
              <c:f>'Pivot Table'!$A$4:$A$6</c:f>
              <c:strCache>
                <c:ptCount val="2"/>
                <c:pt idx="0">
                  <c:v> Credit Card</c:v>
                </c:pt>
                <c:pt idx="1">
                  <c:v> Gift Card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12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4C-4B40-B9FD-2689888EE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PRODUCT BY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Table'!$A$10:$A$15</c:f>
              <c:strCache>
                <c:ptCount val="5"/>
                <c:pt idx="0">
                  <c:v>Beverages</c:v>
                </c:pt>
                <c:pt idx="1">
                  <c:v>Burgers</c:v>
                </c:pt>
                <c:pt idx="2">
                  <c:v>Chicken Sandwiches</c:v>
                </c:pt>
                <c:pt idx="3">
                  <c:v>Fries</c:v>
                </c:pt>
                <c:pt idx="4">
                  <c:v>Sides &amp; Other</c:v>
                </c:pt>
              </c:strCache>
            </c:strRef>
          </c:cat>
          <c:val>
            <c:numRef>
              <c:f>'Pivot Table'!$B$10:$B$15</c:f>
              <c:numCache>
                <c:formatCode>General</c:formatCode>
                <c:ptCount val="5"/>
                <c:pt idx="0">
                  <c:v>1423.73</c:v>
                </c:pt>
                <c:pt idx="1">
                  <c:v>1678.21</c:v>
                </c:pt>
                <c:pt idx="2">
                  <c:v>603.03</c:v>
                </c:pt>
                <c:pt idx="3">
                  <c:v>2292.2800000000002</c:v>
                </c:pt>
                <c:pt idx="4">
                  <c:v>601.20000000000005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4-4BE0-89D8-BC95726D0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94864"/>
        <c:axId val="192501104"/>
      </c:barChart>
      <c:catAx>
        <c:axId val="19249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1104"/>
        <c:crosses val="autoZero"/>
        <c:auto val="1"/>
        <c:lblAlgn val="ctr"/>
        <c:lblOffset val="100"/>
        <c:noMultiLvlLbl val="0"/>
      </c:catAx>
      <c:valAx>
        <c:axId val="19250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9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63500</xdr:rowOff>
    </xdr:from>
    <xdr:to>
      <xdr:col>7</xdr:col>
      <xdr:colOff>533400</xdr:colOff>
      <xdr:row>12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2808A1-9BA5-3959-82E9-C7ED8C470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358775</xdr:colOff>
      <xdr:row>0</xdr:row>
      <xdr:rowOff>146050</xdr:rowOff>
    </xdr:from>
    <xdr:to>
      <xdr:col>15</xdr:col>
      <xdr:colOff>6350</xdr:colOff>
      <xdr:row>12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C63EA2-0E84-5060-4757-3C9B2961A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295275</xdr:colOff>
      <xdr:row>13</xdr:row>
      <xdr:rowOff>146050</xdr:rowOff>
    </xdr:from>
    <xdr:to>
      <xdr:col>9</xdr:col>
      <xdr:colOff>76200</xdr:colOff>
      <xdr:row>28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767296-DEBB-3BA4-CF31-8E2798405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282575</xdr:colOff>
      <xdr:row>13</xdr:row>
      <xdr:rowOff>165100</xdr:rowOff>
    </xdr:from>
    <xdr:to>
      <xdr:col>15</xdr:col>
      <xdr:colOff>495300</xdr:colOff>
      <xdr:row>28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DECF01-B716-506F-7938-D40D08EE2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276225</xdr:colOff>
      <xdr:row>29</xdr:row>
      <xdr:rowOff>57150</xdr:rowOff>
    </xdr:from>
    <xdr:to>
      <xdr:col>9</xdr:col>
      <xdr:colOff>349250</xdr:colOff>
      <xdr:row>44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4477EA-AABB-122C-F697-8C9C94436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581025</xdr:colOff>
      <xdr:row>28</xdr:row>
      <xdr:rowOff>152400</xdr:rowOff>
    </xdr:from>
    <xdr:to>
      <xdr:col>17</xdr:col>
      <xdr:colOff>6350</xdr:colOff>
      <xdr:row>44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8378F9-3697-2DC8-6CED-DB527839E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276225</xdr:colOff>
      <xdr:row>46</xdr:row>
      <xdr:rowOff>19050</xdr:rowOff>
    </xdr:from>
    <xdr:to>
      <xdr:col>8</xdr:col>
      <xdr:colOff>412750</xdr:colOff>
      <xdr:row>64</xdr:row>
      <xdr:rowOff>44450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9C6154-8424-406D-3A37-CE4F3288A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219075</xdr:colOff>
      <xdr:row>46</xdr:row>
      <xdr:rowOff>19050</xdr:rowOff>
    </xdr:from>
    <xdr:to>
      <xdr:col>15</xdr:col>
      <xdr:colOff>571500</xdr:colOff>
      <xdr:row>64</xdr:row>
      <xdr:rowOff>25400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18B791-698B-448D-0D2F-A5A96E70D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226784</xdr:colOff>
      <xdr:row>2</xdr:row>
      <xdr:rowOff>50800</xdr:rowOff>
    </xdr:from>
    <xdr:to>
      <xdr:col>20</xdr:col>
      <xdr:colOff>201386</xdr:colOff>
      <xdr:row>71</xdr:row>
      <xdr:rowOff>25403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80DA59BB-8515-B788-28BA-3181C05E8359}"/>
            </a:ext>
          </a:extLst>
        </xdr:cNvPr>
        <xdr:cNvGrpSpPr/>
      </xdr:nvGrpSpPr>
      <xdr:grpSpPr>
        <a:xfrm>
          <a:off x="834570" y="413657"/>
          <a:ext cx="11522530" cy="12493175"/>
          <a:chOff x="126999" y="413657"/>
          <a:chExt cx="11522530" cy="12493175"/>
        </a:xfrm>
      </xdr:grpSpPr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88F30856-B878-7E51-215A-E4700CC234FB}"/>
              </a:ext>
            </a:extLst>
          </xdr:cNvPr>
          <xdr:cNvSpPr txBox="1"/>
        </xdr:nvSpPr>
        <xdr:spPr>
          <a:xfrm>
            <a:off x="127000" y="413657"/>
            <a:ext cx="11522529" cy="63318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3600" b="1">
                <a:solidFill>
                  <a:srgbClr val="002060"/>
                </a:solidFill>
              </a:rPr>
              <a:t>SALE DATE PRESENTATION</a:t>
            </a:r>
          </a:p>
        </xdr:txBody>
      </xdr:sp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17DB211-23AC-429C-B2C6-A49D93D8C03A}"/>
              </a:ext>
            </a:extLst>
          </xdr:cNvPr>
          <xdr:cNvGraphicFramePr>
            <a:graphicFrameLocks/>
          </xdr:cNvGraphicFramePr>
        </xdr:nvGraphicFramePr>
        <xdr:xfrm>
          <a:off x="126999" y="4105729"/>
          <a:ext cx="4174671" cy="28266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9851EE5C-E761-4CA1-B8FC-F579411E9602}"/>
              </a:ext>
            </a:extLst>
          </xdr:cNvPr>
          <xdr:cNvGraphicFramePr>
            <a:graphicFrameLocks/>
          </xdr:cNvGraphicFramePr>
        </xdr:nvGraphicFramePr>
        <xdr:xfrm>
          <a:off x="4419600" y="9866996"/>
          <a:ext cx="4318000" cy="303983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EEDFDBE0-5DAF-489B-80CA-E17D5AB35727}"/>
              </a:ext>
            </a:extLst>
          </xdr:cNvPr>
          <xdr:cNvGraphicFramePr>
            <a:graphicFrameLocks/>
          </xdr:cNvGraphicFramePr>
        </xdr:nvGraphicFramePr>
        <xdr:xfrm>
          <a:off x="4421187" y="4110490"/>
          <a:ext cx="4305527" cy="28314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845629F-5985-4ECA-A3B8-F72E911EC819}"/>
              </a:ext>
            </a:extLst>
          </xdr:cNvPr>
          <xdr:cNvGraphicFramePr>
            <a:graphicFrameLocks/>
          </xdr:cNvGraphicFramePr>
        </xdr:nvGraphicFramePr>
        <xdr:xfrm>
          <a:off x="4419600" y="1158421"/>
          <a:ext cx="4305300" cy="284094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50E8DAC6-C55D-4FA8-93A3-B799C8AE000D}"/>
              </a:ext>
            </a:extLst>
          </xdr:cNvPr>
          <xdr:cNvGraphicFramePr>
            <a:graphicFrameLocks/>
          </xdr:cNvGraphicFramePr>
        </xdr:nvGraphicFramePr>
        <xdr:xfrm>
          <a:off x="127000" y="9869714"/>
          <a:ext cx="4178300" cy="30371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FE673343-CC9D-4056-91A8-A3A0D6148B65}"/>
              </a:ext>
            </a:extLst>
          </xdr:cNvPr>
          <xdr:cNvGraphicFramePr>
            <a:graphicFrameLocks/>
          </xdr:cNvGraphicFramePr>
        </xdr:nvGraphicFramePr>
        <xdr:xfrm>
          <a:off x="129721" y="7065736"/>
          <a:ext cx="4171950" cy="26588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EEB45282-06DA-4A5C-81A6-42BCE39418A9}"/>
              </a:ext>
            </a:extLst>
          </xdr:cNvPr>
          <xdr:cNvGraphicFramePr>
            <a:graphicFrameLocks/>
          </xdr:cNvGraphicFramePr>
        </xdr:nvGraphicFramePr>
        <xdr:xfrm>
          <a:off x="8839200" y="1169534"/>
          <a:ext cx="2810329" cy="28298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437CEE8B-F56D-4101-B5E7-40B21303CF9B}"/>
              </a:ext>
            </a:extLst>
          </xdr:cNvPr>
          <xdr:cNvGraphicFramePr>
            <a:graphicFrameLocks/>
          </xdr:cNvGraphicFramePr>
        </xdr:nvGraphicFramePr>
        <xdr:xfrm>
          <a:off x="127000" y="1152071"/>
          <a:ext cx="4171041" cy="28457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'Pivot Table'!A55">
        <xdr:nvSpPr>
          <xdr:cNvPr id="11" name="TextBox 10">
            <a:extLst>
              <a:ext uri="{FF2B5EF4-FFF2-40B4-BE49-F238E27FC236}">
                <a16:creationId xmlns:a16="http://schemas.microsoft.com/office/drawing/2014/main" id="{9209844A-FCBE-0CBE-E23B-C6C713DB7420}"/>
              </a:ext>
            </a:extLst>
          </xdr:cNvPr>
          <xdr:cNvSpPr txBox="1"/>
        </xdr:nvSpPr>
        <xdr:spPr>
          <a:xfrm>
            <a:off x="4421187" y="7065509"/>
            <a:ext cx="2061483" cy="266813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D0025EF-D33B-4C72-9312-F07F909360BC}" type="TxLink">
              <a:rPr lang="en-US" sz="24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2866.68</a:t>
            </a:fld>
            <a:endParaRPr lang="en-US" sz="2400" b="1"/>
          </a:p>
        </xdr:txBody>
      </xdr:sp>
      <xdr:sp macro="" textlink="'Pivot Table'!A59">
        <xdr:nvSpPr>
          <xdr:cNvPr id="12" name="TextBox 11">
            <a:extLst>
              <a:ext uri="{FF2B5EF4-FFF2-40B4-BE49-F238E27FC236}">
                <a16:creationId xmlns:a16="http://schemas.microsoft.com/office/drawing/2014/main" id="{77174661-2830-4706-BDD4-4E7C21028693}"/>
              </a:ext>
            </a:extLst>
          </xdr:cNvPr>
          <xdr:cNvSpPr txBox="1"/>
        </xdr:nvSpPr>
        <xdr:spPr>
          <a:xfrm>
            <a:off x="6591528" y="7067098"/>
            <a:ext cx="2145393" cy="266654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  <a:p>
            <a:pPr algn="ctr"/>
            <a:endPara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  <a:p>
            <a:pPr algn="ctr"/>
            <a:endPara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  <a:p>
            <a:pPr algn="ctr"/>
            <a:fld id="{E24E3B63-80BB-43A4-92F8-0AA289FE4E6F}" type="TxLink">
              <a:rPr lang="en-US" sz="24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2314.74</a:t>
            </a:fld>
            <a:endParaRPr lang="en-US" sz="2400" b="1"/>
          </a:p>
        </xdr:txBody>
      </xdr:sp>
      <xdr:sp macro="" textlink="'Pivot Table'!A63">
        <xdr:nvSpPr>
          <xdr:cNvPr id="13" name="TextBox 12">
            <a:extLst>
              <a:ext uri="{FF2B5EF4-FFF2-40B4-BE49-F238E27FC236}">
                <a16:creationId xmlns:a16="http://schemas.microsoft.com/office/drawing/2014/main" id="{C66C5C90-C4DE-42FC-AE36-F45C52EAE68D}"/>
              </a:ext>
            </a:extLst>
          </xdr:cNvPr>
          <xdr:cNvSpPr txBox="1"/>
        </xdr:nvSpPr>
        <xdr:spPr>
          <a:xfrm>
            <a:off x="8839200" y="4105728"/>
            <a:ext cx="2808514" cy="28339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  <a:p>
            <a:pPr algn="ctr"/>
            <a:fld id="{ECE0615A-1051-4E5B-B5F9-9A1F4B777DB5}" type="TxLink">
              <a:rPr lang="en-US" sz="24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208.30</a:t>
            </a:fld>
            <a:endParaRPr lang="en-US" sz="2400" b="1"/>
          </a:p>
        </xdr:txBody>
      </xdr:sp>
      <xdr:sp macro="" textlink="'Pivot Table'!A67">
        <xdr:nvSpPr>
          <xdr:cNvPr id="14" name="TextBox 13">
            <a:extLst>
              <a:ext uri="{FF2B5EF4-FFF2-40B4-BE49-F238E27FC236}">
                <a16:creationId xmlns:a16="http://schemas.microsoft.com/office/drawing/2014/main" id="{B04AD4BE-ACC7-41E0-95CF-877B1B745423}"/>
              </a:ext>
            </a:extLst>
          </xdr:cNvPr>
          <xdr:cNvSpPr txBox="1"/>
        </xdr:nvSpPr>
        <xdr:spPr>
          <a:xfrm>
            <a:off x="8839201" y="7066644"/>
            <a:ext cx="2808513" cy="266518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B929D20-3C1E-495D-916A-175E7AD7DF95}" type="TxLink">
              <a:rPr lang="en-US" sz="24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5358040.44</a:t>
            </a:fld>
            <a:endParaRPr lang="en-US" sz="2400" b="1"/>
          </a:p>
        </xdr:txBody>
      </xdr:sp>
      <xdr:sp macro="" textlink="'Pivot Table'!A71">
        <xdr:nvSpPr>
          <xdr:cNvPr id="15" name="TextBox 14">
            <a:extLst>
              <a:ext uri="{FF2B5EF4-FFF2-40B4-BE49-F238E27FC236}">
                <a16:creationId xmlns:a16="http://schemas.microsoft.com/office/drawing/2014/main" id="{9EB34A3F-226D-4ADF-9EFD-93C755AFDAA4}"/>
              </a:ext>
            </a:extLst>
          </xdr:cNvPr>
          <xdr:cNvSpPr txBox="1"/>
        </xdr:nvSpPr>
        <xdr:spPr>
          <a:xfrm>
            <a:off x="8839200" y="9869717"/>
            <a:ext cx="2808514" cy="30371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7439A98-9DB8-494B-96C8-0F2F255558A6}" type="TxLink">
              <a:rPr lang="en-US" sz="24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43389.43</a:t>
            </a:fld>
            <a:endParaRPr lang="en-US" sz="2400" b="1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D01125A-2B0F-207F-D57B-D862A8187670}"/>
              </a:ext>
            </a:extLst>
          </xdr:cNvPr>
          <xdr:cNvSpPr txBox="1"/>
        </xdr:nvSpPr>
        <xdr:spPr>
          <a:xfrm>
            <a:off x="4722585" y="7198631"/>
            <a:ext cx="1646792" cy="3882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>
                <a:solidFill>
                  <a:srgbClr val="002060"/>
                </a:solidFill>
              </a:rPr>
              <a:t>AVE.</a:t>
            </a:r>
            <a:r>
              <a:rPr lang="en-US" sz="1600" b="1" baseline="0">
                <a:solidFill>
                  <a:srgbClr val="002060"/>
                </a:solidFill>
              </a:rPr>
              <a:t> REVENUE</a:t>
            </a:r>
            <a:endParaRPr lang="en-US" sz="1600" b="1">
              <a:solidFill>
                <a:srgbClr val="002060"/>
              </a:solidFill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A23B3CA-A924-494D-B36F-42EF9B2910B6}"/>
              </a:ext>
            </a:extLst>
          </xdr:cNvPr>
          <xdr:cNvSpPr txBox="1"/>
        </xdr:nvSpPr>
        <xdr:spPr>
          <a:xfrm>
            <a:off x="9116785" y="10023931"/>
            <a:ext cx="2305957" cy="48985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>
                <a:solidFill>
                  <a:srgbClr val="002060"/>
                </a:solidFill>
                <a:effectLst/>
                <a:latin typeface="+mn-lt"/>
                <a:ea typeface="+mn-ea"/>
                <a:cs typeface="+mn-cs"/>
              </a:rPr>
              <a:t>VARIENCE OF</a:t>
            </a:r>
            <a:r>
              <a:rPr lang="en-US" sz="1600" b="1" baseline="0">
                <a:solidFill>
                  <a:srgbClr val="002060"/>
                </a:solidFill>
                <a:effectLst/>
                <a:latin typeface="+mn-lt"/>
                <a:ea typeface="+mn-ea"/>
                <a:cs typeface="+mn-cs"/>
              </a:rPr>
              <a:t> QUANTITY</a:t>
            </a:r>
            <a:endParaRPr lang="en-US" sz="1600">
              <a:solidFill>
                <a:srgbClr val="002060"/>
              </a:solidFill>
              <a:effectLst/>
            </a:endParaRP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25C4DA31-483D-4A88-88D7-19D3DA7C4B9A}"/>
              </a:ext>
            </a:extLst>
          </xdr:cNvPr>
          <xdr:cNvSpPr txBox="1"/>
        </xdr:nvSpPr>
        <xdr:spPr>
          <a:xfrm>
            <a:off x="9122229" y="7215414"/>
            <a:ext cx="2178957" cy="3882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>
                <a:solidFill>
                  <a:srgbClr val="002060"/>
                </a:solidFill>
              </a:rPr>
              <a:t>VARIENCE OF</a:t>
            </a:r>
            <a:r>
              <a:rPr lang="en-US" sz="1600" b="1" baseline="0">
                <a:solidFill>
                  <a:srgbClr val="002060"/>
                </a:solidFill>
              </a:rPr>
              <a:t> REVENUE</a:t>
            </a:r>
            <a:endParaRPr lang="en-US" sz="1600" b="1">
              <a:solidFill>
                <a:srgbClr val="002060"/>
              </a:solidFill>
            </a:endParaRP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AACF5BEF-0ED3-4422-8B66-79F4C5A97454}"/>
              </a:ext>
            </a:extLst>
          </xdr:cNvPr>
          <xdr:cNvSpPr txBox="1"/>
        </xdr:nvSpPr>
        <xdr:spPr>
          <a:xfrm>
            <a:off x="9218386" y="4263572"/>
            <a:ext cx="2178957" cy="43542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>
                <a:solidFill>
                  <a:srgbClr val="002060"/>
                </a:solidFill>
                <a:effectLst/>
                <a:latin typeface="+mn-lt"/>
                <a:ea typeface="+mn-ea"/>
                <a:cs typeface="+mn-cs"/>
              </a:rPr>
              <a:t>STD.DEV OF QUANTITY</a:t>
            </a:r>
            <a:endParaRPr lang="en-US" sz="1600" b="1">
              <a:solidFill>
                <a:srgbClr val="002060"/>
              </a:solidFill>
              <a:effectLst/>
            </a:endParaRP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84BC3E87-A424-4C1F-A4BE-07917D8FCCEB}"/>
              </a:ext>
            </a:extLst>
          </xdr:cNvPr>
          <xdr:cNvSpPr txBox="1"/>
        </xdr:nvSpPr>
        <xdr:spPr>
          <a:xfrm>
            <a:off x="6819447" y="7197044"/>
            <a:ext cx="1714702" cy="62252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 b="1">
                <a:solidFill>
                  <a:srgbClr val="002060"/>
                </a:solidFill>
              </a:rPr>
              <a:t>STD.DEV OF REVENUE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ezy" refreshedDate="46066.679542013888" createdVersion="8" refreshedVersion="8" minRefreshableVersion="3" recordCount="15" xr:uid="{4E962AD4-DF4C-45F3-B8B1-21248331F91E}">
  <cacheSource type="worksheet">
    <worksheetSource name="Table1"/>
  </cacheSource>
  <cacheFields count="10">
    <cacheField name="Order ID" numFmtId="0">
      <sharedItems containsSemiMixedTypes="0" containsString="0" containsNumber="1" containsInteger="1" minValue="10452" maxValue="10467"/>
    </cacheField>
    <cacheField name="Date" numFmtId="14">
      <sharedItems containsSemiMixedTypes="0" containsNonDate="0" containsDate="1" containsString="0" minDate="2022-11-07T00:00:00" maxDate="2022-11-11T00:00:00" count="4">
        <d v="2022-11-07T00:00:00"/>
        <d v="2022-11-08T00:00:00"/>
        <d v="2022-11-09T00:00:00"/>
        <d v="2022-11-10T00:00:00"/>
      </sharedItems>
    </cacheField>
    <cacheField name="Product" numFmtId="0">
      <sharedItems count="5">
        <s v="Fries"/>
        <s v="Beverages"/>
        <s v="Sides &amp; Other"/>
        <s v="Burgers"/>
        <s v="Chicken Sandwiches"/>
      </sharedItems>
    </cacheField>
    <cacheField name="Price" numFmtId="0">
      <sharedItems containsSemiMixedTypes="0" containsString="0" containsNumber="1" minValue="2.95" maxValue="12.99"/>
    </cacheField>
    <cacheField name="Quantity" numFmtId="0">
      <sharedItems containsSemiMixedTypes="0" containsString="0" containsNumber="1" minValue="200.4" maxValue="745.76"/>
    </cacheField>
    <cacheField name="Purchase Type" numFmtId="0">
      <sharedItems/>
    </cacheField>
    <cacheField name="Payment Method" numFmtId="0">
      <sharedItems count="2">
        <s v=" Gift Card"/>
        <s v=" Credit Card"/>
      </sharedItems>
    </cacheField>
    <cacheField name="Manager" numFmtId="0">
      <sharedItems count="5">
        <s v="Tom Jackson"/>
        <s v="Pablo Perez"/>
        <s v="Joao Silva"/>
        <s v="Walter Muller"/>
        <s v="Remy Monet"/>
      </sharedItems>
    </cacheField>
    <cacheField name="Revenue" numFmtId="2">
      <sharedItems containsSemiMixedTypes="0" containsString="0" containsNumber="1" minValue="999.99600000000009" maxValue="7400.0132999999996"/>
    </cacheField>
    <cacheField name="City" numFmtId="0">
      <sharedItems count="5">
        <s v="London"/>
        <s v="Madrid"/>
        <s v="Lisbon"/>
        <s v="Berlin"/>
        <s v="Pari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452"/>
    <x v="0"/>
    <x v="0"/>
    <n v="3.49"/>
    <n v="573.07000000000005"/>
    <s v="Online "/>
    <x v="0"/>
    <x v="0"/>
    <n v="2000.0143000000003"/>
    <x v="0"/>
  </r>
  <r>
    <n v="10453"/>
    <x v="0"/>
    <x v="1"/>
    <n v="2.95"/>
    <n v="745.76"/>
    <s v="Online "/>
    <x v="0"/>
    <x v="1"/>
    <n v="2199.9920000000002"/>
    <x v="1"/>
  </r>
  <r>
    <n v="10454"/>
    <x v="0"/>
    <x v="2"/>
    <n v="4.99"/>
    <n v="200.4"/>
    <s v="In-store "/>
    <x v="0"/>
    <x v="2"/>
    <n v="999.99600000000009"/>
    <x v="2"/>
  </r>
  <r>
    <n v="10455"/>
    <x v="1"/>
    <x v="3"/>
    <n v="12.99"/>
    <n v="569.66999999999996"/>
    <s v="In-store "/>
    <x v="1"/>
    <x v="3"/>
    <n v="7400.0132999999996"/>
    <x v="3"/>
  </r>
  <r>
    <n v="10456"/>
    <x v="1"/>
    <x v="4"/>
    <n v="9.9499999999999993"/>
    <n v="201.01"/>
    <s v="In-store "/>
    <x v="1"/>
    <x v="3"/>
    <n v="2000.0494999999999"/>
    <x v="3"/>
  </r>
  <r>
    <n v="10457"/>
    <x v="1"/>
    <x v="0"/>
    <n v="3.49"/>
    <n v="573.07000000000005"/>
    <s v="In-store "/>
    <x v="1"/>
    <x v="4"/>
    <n v="2000.0143000000003"/>
    <x v="4"/>
  </r>
  <r>
    <n v="10459"/>
    <x v="1"/>
    <x v="2"/>
    <n v="4.99"/>
    <n v="200.4"/>
    <s v="In-store "/>
    <x v="1"/>
    <x v="3"/>
    <n v="999.99600000000009"/>
    <x v="3"/>
  </r>
  <r>
    <n v="10460"/>
    <x v="2"/>
    <x v="3"/>
    <n v="12.99"/>
    <n v="554.27"/>
    <s v="In-store "/>
    <x v="1"/>
    <x v="4"/>
    <n v="7199.9673000000003"/>
    <x v="4"/>
  </r>
  <r>
    <n v="10461"/>
    <x v="2"/>
    <x v="4"/>
    <n v="9.9499999999999993"/>
    <n v="201.01"/>
    <s v="In-store "/>
    <x v="1"/>
    <x v="4"/>
    <n v="2000.0494999999999"/>
    <x v="4"/>
  </r>
  <r>
    <n v="10462"/>
    <x v="2"/>
    <x v="0"/>
    <n v="3.49"/>
    <n v="573.07000000000005"/>
    <s v="In-store "/>
    <x v="1"/>
    <x v="4"/>
    <n v="2000.0143000000003"/>
    <x v="4"/>
  </r>
  <r>
    <n v="10463"/>
    <x v="2"/>
    <x v="1"/>
    <n v="2.95"/>
    <n v="677.97"/>
    <s v="In-store "/>
    <x v="1"/>
    <x v="4"/>
    <n v="2000.0115000000003"/>
    <x v="4"/>
  </r>
  <r>
    <n v="10464"/>
    <x v="2"/>
    <x v="2"/>
    <n v="4.99"/>
    <n v="200.4"/>
    <s v="In-store "/>
    <x v="1"/>
    <x v="4"/>
    <n v="999.99600000000009"/>
    <x v="4"/>
  </r>
  <r>
    <n v="10465"/>
    <x v="3"/>
    <x v="3"/>
    <n v="12.99"/>
    <n v="554.27"/>
    <s v="In-store "/>
    <x v="1"/>
    <x v="1"/>
    <n v="7199.9673000000003"/>
    <x v="1"/>
  </r>
  <r>
    <n v="10466"/>
    <x v="3"/>
    <x v="4"/>
    <n v="9.9499999999999993"/>
    <n v="201.01"/>
    <s v="In-store "/>
    <x v="1"/>
    <x v="1"/>
    <n v="2000.0494999999999"/>
    <x v="1"/>
  </r>
  <r>
    <n v="10467"/>
    <x v="3"/>
    <x v="0"/>
    <n v="3.49"/>
    <n v="573.07000000000005"/>
    <s v="In-store "/>
    <x v="1"/>
    <x v="1"/>
    <n v="2000.014300000000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89286-0FF1-4589-944E-1D504A7B097C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1:A62" firstHeaderRow="1" firstDataRow="1" firstDataCol="0"/>
  <pivotFields count="10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numFmtId="2" showAll="0"/>
    <pivotField showAll="0"/>
  </pivotFields>
  <rowItems count="1">
    <i/>
  </rowItems>
  <colItems count="1">
    <i/>
  </colItems>
  <dataFields count="1">
    <dataField name="StdDev of Quantity" fld="4" subtotal="stdDev" baseField="0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19839-B97D-4428-B707-60E594B280B9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5:B50" firstHeaderRow="1" firstDataRow="1" firstDataCol="1"/>
  <pivotFields count="10">
    <pivotField showAll="0"/>
    <pivotField axis="axisRow"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 by Date" fld="8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74934-99CA-45C1-A957-965228DCB231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9:A70" firstHeaderRow="1" firstDataRow="1" firstDataCol="0"/>
  <pivotFields count="10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numFmtId="2" showAll="0"/>
    <pivotField showAll="0"/>
  </pivotFields>
  <rowItems count="1">
    <i/>
  </rowItems>
  <colItems count="1">
    <i/>
  </colItems>
  <dataFields count="1">
    <dataField name="Var of Quantity" fld="4" subtotal="var" baseField="0" baseItem="0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FCB54-2D2B-48AC-AF23-8DA5CD026D0F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8:B24" firstHeaderRow="1" firstDataRow="1" firstDataCol="1"/>
  <pivotFields count="10">
    <pivotField showAll="0"/>
    <pivotField numFmtId="14"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duct by Revenue" fld="8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1CB66-04ED-46CC-BB46-4F32F38D6D4D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5:A66" firstHeaderRow="1" firstDataRow="1" firstDataCol="0"/>
  <pivotFields count="10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Items count="1">
    <i/>
  </rowItems>
  <colItems count="1">
    <i/>
  </colItems>
  <dataFields count="1">
    <dataField name="Var of Revenue" fld="8" subtotal="var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47AD4-EDB8-41E7-BDF6-F4C8E82743B0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73:B79" firstHeaderRow="1" firstDataRow="1" firstDataCol="1"/>
  <pivotFields count="10">
    <pivotField showAll="0"/>
    <pivotField numFmtId="14"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numFmtId="2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Quantity" fld="4" subtotal="average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8215B-6937-48E5-AF0D-7FD521F67770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3:A54" firstHeaderRow="1" firstDataRow="1" firstDataCol="0"/>
  <pivotFields count="10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Items count="1">
    <i/>
  </rowItems>
  <colItems count="1">
    <i/>
  </colItems>
  <dataFields count="1">
    <dataField name="Average Revenue" fld="8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715AD-F6E4-44F4-9CDB-448C8D88AC62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6:B42" firstHeaderRow="1" firstDataRow="1" firstDataCol="1"/>
  <pivotFields count="10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0"/>
        <item x="3"/>
        <item t="default"/>
      </items>
    </pivotField>
    <pivotField dataField="1" numFmtId="2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 by Manager" fld="8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98275-A88C-4EF3-8AB4-338A152F95ED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7:A58" firstHeaderRow="1" firstDataRow="1" firstDataCol="0"/>
  <pivotFields count="10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Items count="1">
    <i/>
  </rowItems>
  <colItems count="1">
    <i/>
  </colItems>
  <dataFields count="1">
    <dataField name="StdDev of Revenue" fld="8" subtotal="stdDev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DC17E-BC97-4492-A895-C8069648A1F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9:B15" firstHeaderRow="1" firstDataRow="1" firstDataCol="1"/>
  <pivotFields count="10">
    <pivotField showAll="0"/>
    <pivotField numFmtId="14"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numFmtId="2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duct by Quantity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3A6CC-BDA6-4FBB-8576-AB72F60F078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0">
    <pivotField dataField="1" showAll="0"/>
    <pivotField numFmtId="14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2"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Payment Method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188BC-200B-4EFD-81DE-C1C09D3C736B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3:B89" firstHeaderRow="1" firstDataRow="1" firstDataCol="1"/>
  <pivotFields count="10">
    <pivotField showAll="0"/>
    <pivotField numFmtId="14"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Revenue" fld="8" subtotal="average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3EBE0-5DA3-40A0-B3F9-04B49DC9435C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7:B33" firstHeaderRow="1" firstDataRow="1" firstDataCol="1"/>
  <pivotFields count="10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6">
        <item x="3"/>
        <item x="2"/>
        <item x="0"/>
        <item x="1"/>
        <item x="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 by City" fld="8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3AE086-BA44-423B-B8E6-4606DD1AC306}" name="Table1" displayName="Table1" ref="A1:J16" totalsRowShown="0">
  <autoFilter ref="A1:J16" xr:uid="{A13AE086-BA44-423B-B8E6-4606DD1AC306}"/>
  <tableColumns count="10">
    <tableColumn id="1" xr3:uid="{6F935368-FC09-4E59-897B-396C2D55A324}" name="Order ID"/>
    <tableColumn id="2" xr3:uid="{5DE3C599-B8D7-463A-8088-D8D9C7B7CF97}" name="Date" dataDxfId="4"/>
    <tableColumn id="3" xr3:uid="{E9BC31D9-ECD9-452C-9A1A-C7643E9646FE}" name="Product"/>
    <tableColumn id="4" xr3:uid="{5254B146-2482-478F-B247-D81F91DC74C5}" name="Price"/>
    <tableColumn id="5" xr3:uid="{40A493C1-A9AA-4A72-86D4-C8187D53DAE7}" name="Quantity"/>
    <tableColumn id="6" xr3:uid="{1BAF40A7-9D64-418E-AFDC-F997F1663A68}" name="Purchase Type"/>
    <tableColumn id="7" xr3:uid="{DCE672FE-6DF8-4986-8A04-7C54A08B0DDB}" name="Payment Method"/>
    <tableColumn id="13" xr3:uid="{C9F3D11F-26E8-4154-9BCF-96E7481E5791}" name="Manager" dataDxfId="3"/>
    <tableColumn id="14" xr3:uid="{A984C987-BB6C-4371-BE87-F9CD4FACA3C4}" name="Revenue" dataDxfId="2">
      <calculatedColumnFormula>PRODUCT(Table1[[#This Row],[Quantity]],Table1[[#This Row],[Price]])</calculatedColumnFormula>
    </tableColumn>
    <tableColumn id="9" xr3:uid="{8D1F8ACB-447A-4158-BCD3-624AFF21D62C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5212-27DB-49B0-A29B-82EBECF38A9F}">
  <dimension ref="A1:J16"/>
  <sheetViews>
    <sheetView workbookViewId="0">
      <selection activeCell="A2" sqref="A2"/>
    </sheetView>
  </sheetViews>
  <sheetFormatPr defaultRowHeight="14.5" x14ac:dyDescent="0.35"/>
  <cols>
    <col min="1" max="1" width="10" customWidth="1"/>
    <col min="2" max="2" width="10.453125" bestFit="1" customWidth="1"/>
    <col min="3" max="3" width="17.6328125" bestFit="1" customWidth="1"/>
    <col min="4" max="4" width="6.90625" customWidth="1"/>
    <col min="5" max="5" width="10.1796875" customWidth="1"/>
    <col min="6" max="6" width="14.90625" customWidth="1"/>
    <col min="7" max="9" width="17.453125" customWidth="1"/>
    <col min="10" max="10" width="7.08984375" customWidth="1"/>
    <col min="12" max="12" width="12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</row>
    <row r="2" spans="1:10" x14ac:dyDescent="0.35">
      <c r="A2">
        <v>10452</v>
      </c>
      <c r="B2" s="1">
        <v>44872</v>
      </c>
      <c r="C2" t="s">
        <v>9</v>
      </c>
      <c r="D2">
        <v>3.49</v>
      </c>
      <c r="E2">
        <v>573.07000000000005</v>
      </c>
      <c r="F2" t="s">
        <v>10</v>
      </c>
      <c r="G2" t="s">
        <v>11</v>
      </c>
      <c r="H2" t="s">
        <v>26</v>
      </c>
      <c r="I2" s="4">
        <f>PRODUCT(Table1[[#This Row],[Quantity]],Table1[[#This Row],[Price]])</f>
        <v>2000.0143000000003</v>
      </c>
      <c r="J2" t="s">
        <v>12</v>
      </c>
    </row>
    <row r="3" spans="1:10" x14ac:dyDescent="0.35">
      <c r="A3">
        <v>10453</v>
      </c>
      <c r="B3" s="1">
        <v>44872</v>
      </c>
      <c r="C3" t="s">
        <v>13</v>
      </c>
      <c r="D3">
        <v>2.95</v>
      </c>
      <c r="E3">
        <v>745.76</v>
      </c>
      <c r="F3" t="s">
        <v>10</v>
      </c>
      <c r="G3" t="s">
        <v>11</v>
      </c>
      <c r="H3" t="s">
        <v>25</v>
      </c>
      <c r="I3" s="4">
        <f>PRODUCT(Table1[[#This Row],[Quantity]],Table1[[#This Row],[Price]])</f>
        <v>2199.9920000000002</v>
      </c>
      <c r="J3" t="s">
        <v>14</v>
      </c>
    </row>
    <row r="4" spans="1:10" x14ac:dyDescent="0.35">
      <c r="A4">
        <v>10454</v>
      </c>
      <c r="B4" s="1">
        <v>44872</v>
      </c>
      <c r="C4" t="s">
        <v>15</v>
      </c>
      <c r="D4">
        <v>4.99</v>
      </c>
      <c r="E4">
        <v>200.4</v>
      </c>
      <c r="F4" t="s">
        <v>16</v>
      </c>
      <c r="G4" t="s">
        <v>11</v>
      </c>
      <c r="H4" t="s">
        <v>27</v>
      </c>
      <c r="I4" s="4">
        <f>PRODUCT(Table1[[#This Row],[Quantity]],Table1[[#This Row],[Price]])</f>
        <v>999.99600000000009</v>
      </c>
      <c r="J4" t="s">
        <v>17</v>
      </c>
    </row>
    <row r="5" spans="1:10" x14ac:dyDescent="0.35">
      <c r="A5">
        <v>10455</v>
      </c>
      <c r="B5" s="1">
        <v>44873</v>
      </c>
      <c r="C5" t="s">
        <v>18</v>
      </c>
      <c r="D5">
        <v>12.99</v>
      </c>
      <c r="E5">
        <v>569.66999999999996</v>
      </c>
      <c r="F5" t="s">
        <v>16</v>
      </c>
      <c r="G5" t="s">
        <v>19</v>
      </c>
      <c r="H5" t="s">
        <v>20</v>
      </c>
      <c r="I5" s="4">
        <f>PRODUCT(Table1[[#This Row],[Quantity]],Table1[[#This Row],[Price]])</f>
        <v>7400.0132999999996</v>
      </c>
      <c r="J5" t="s">
        <v>21</v>
      </c>
    </row>
    <row r="6" spans="1:10" x14ac:dyDescent="0.35">
      <c r="A6">
        <v>10456</v>
      </c>
      <c r="B6" s="1">
        <v>44873</v>
      </c>
      <c r="C6" t="s">
        <v>22</v>
      </c>
      <c r="D6">
        <v>9.9499999999999993</v>
      </c>
      <c r="E6">
        <v>201.01</v>
      </c>
      <c r="F6" t="s">
        <v>16</v>
      </c>
      <c r="G6" t="s">
        <v>19</v>
      </c>
      <c r="H6" t="s">
        <v>20</v>
      </c>
      <c r="I6" s="4">
        <f>PRODUCT(Table1[[#This Row],[Quantity]],Table1[[#This Row],[Price]])</f>
        <v>2000.0494999999999</v>
      </c>
      <c r="J6" t="s">
        <v>21</v>
      </c>
    </row>
    <row r="7" spans="1:10" x14ac:dyDescent="0.35">
      <c r="A7">
        <v>10457</v>
      </c>
      <c r="B7" s="1">
        <v>44873</v>
      </c>
      <c r="C7" t="s">
        <v>9</v>
      </c>
      <c r="D7">
        <v>3.49</v>
      </c>
      <c r="E7">
        <v>573.07000000000005</v>
      </c>
      <c r="F7" t="s">
        <v>16</v>
      </c>
      <c r="G7" t="s">
        <v>19</v>
      </c>
      <c r="H7" t="s">
        <v>24</v>
      </c>
      <c r="I7" s="4">
        <f>PRODUCT(Table1[[#This Row],[Quantity]],Table1[[#This Row],[Price]])</f>
        <v>2000.0143000000003</v>
      </c>
      <c r="J7" t="s">
        <v>23</v>
      </c>
    </row>
    <row r="8" spans="1:10" x14ac:dyDescent="0.35">
      <c r="A8">
        <v>10459</v>
      </c>
      <c r="B8" s="1">
        <v>44873</v>
      </c>
      <c r="C8" t="s">
        <v>15</v>
      </c>
      <c r="D8">
        <v>4.99</v>
      </c>
      <c r="E8">
        <v>200.4</v>
      </c>
      <c r="F8" t="s">
        <v>16</v>
      </c>
      <c r="G8" t="s">
        <v>19</v>
      </c>
      <c r="H8" t="s">
        <v>20</v>
      </c>
      <c r="I8" s="4">
        <f>PRODUCT(Table1[[#This Row],[Quantity]],Table1[[#This Row],[Price]])</f>
        <v>999.99600000000009</v>
      </c>
      <c r="J8" t="s">
        <v>21</v>
      </c>
    </row>
    <row r="9" spans="1:10" x14ac:dyDescent="0.35">
      <c r="A9">
        <v>10460</v>
      </c>
      <c r="B9" s="1">
        <v>44874</v>
      </c>
      <c r="C9" t="s">
        <v>18</v>
      </c>
      <c r="D9">
        <v>12.99</v>
      </c>
      <c r="E9">
        <v>554.27</v>
      </c>
      <c r="F9" t="s">
        <v>16</v>
      </c>
      <c r="G9" t="s">
        <v>19</v>
      </c>
      <c r="H9" t="s">
        <v>24</v>
      </c>
      <c r="I9" s="4">
        <f>PRODUCT(Table1[[#This Row],[Quantity]],Table1[[#This Row],[Price]])</f>
        <v>7199.9673000000003</v>
      </c>
      <c r="J9" t="s">
        <v>23</v>
      </c>
    </row>
    <row r="10" spans="1:10" x14ac:dyDescent="0.35">
      <c r="A10">
        <v>10461</v>
      </c>
      <c r="B10" s="1">
        <v>44874</v>
      </c>
      <c r="C10" t="s">
        <v>22</v>
      </c>
      <c r="D10">
        <v>9.9499999999999993</v>
      </c>
      <c r="E10">
        <v>201.01</v>
      </c>
      <c r="F10" t="s">
        <v>16</v>
      </c>
      <c r="G10" t="s">
        <v>19</v>
      </c>
      <c r="H10" t="s">
        <v>24</v>
      </c>
      <c r="I10" s="4">
        <f>PRODUCT(Table1[[#This Row],[Quantity]],Table1[[#This Row],[Price]])</f>
        <v>2000.0494999999999</v>
      </c>
      <c r="J10" t="s">
        <v>23</v>
      </c>
    </row>
    <row r="11" spans="1:10" x14ac:dyDescent="0.35">
      <c r="A11">
        <v>10462</v>
      </c>
      <c r="B11" s="1">
        <v>44874</v>
      </c>
      <c r="C11" t="s">
        <v>9</v>
      </c>
      <c r="D11">
        <v>3.49</v>
      </c>
      <c r="E11">
        <v>573.07000000000005</v>
      </c>
      <c r="F11" t="s">
        <v>16</v>
      </c>
      <c r="G11" t="s">
        <v>19</v>
      </c>
      <c r="H11" t="s">
        <v>24</v>
      </c>
      <c r="I11" s="4">
        <f>PRODUCT(Table1[[#This Row],[Quantity]],Table1[[#This Row],[Price]])</f>
        <v>2000.0143000000003</v>
      </c>
      <c r="J11" t="s">
        <v>23</v>
      </c>
    </row>
    <row r="12" spans="1:10" x14ac:dyDescent="0.35">
      <c r="A12">
        <v>10463</v>
      </c>
      <c r="B12" s="1">
        <v>44874</v>
      </c>
      <c r="C12" t="s">
        <v>13</v>
      </c>
      <c r="D12">
        <v>2.95</v>
      </c>
      <c r="E12">
        <v>677.97</v>
      </c>
      <c r="F12" t="s">
        <v>16</v>
      </c>
      <c r="G12" t="s">
        <v>19</v>
      </c>
      <c r="H12" t="s">
        <v>24</v>
      </c>
      <c r="I12" s="4">
        <f>PRODUCT(Table1[[#This Row],[Quantity]],Table1[[#This Row],[Price]])</f>
        <v>2000.0115000000003</v>
      </c>
      <c r="J12" t="s">
        <v>23</v>
      </c>
    </row>
    <row r="13" spans="1:10" x14ac:dyDescent="0.35">
      <c r="A13">
        <v>10464</v>
      </c>
      <c r="B13" s="1">
        <v>44874</v>
      </c>
      <c r="C13" t="s">
        <v>15</v>
      </c>
      <c r="D13">
        <v>4.99</v>
      </c>
      <c r="E13">
        <v>200.4</v>
      </c>
      <c r="F13" t="s">
        <v>16</v>
      </c>
      <c r="G13" t="s">
        <v>19</v>
      </c>
      <c r="H13" t="s">
        <v>24</v>
      </c>
      <c r="I13" s="4">
        <f>PRODUCT(Table1[[#This Row],[Quantity]],Table1[[#This Row],[Price]])</f>
        <v>999.99600000000009</v>
      </c>
      <c r="J13" t="s">
        <v>23</v>
      </c>
    </row>
    <row r="14" spans="1:10" x14ac:dyDescent="0.35">
      <c r="A14">
        <v>10465</v>
      </c>
      <c r="B14" s="1">
        <v>44875</v>
      </c>
      <c r="C14" t="s">
        <v>18</v>
      </c>
      <c r="D14">
        <v>12.99</v>
      </c>
      <c r="E14">
        <v>554.27</v>
      </c>
      <c r="F14" t="s">
        <v>16</v>
      </c>
      <c r="G14" t="s">
        <v>19</v>
      </c>
      <c r="H14" t="s">
        <v>25</v>
      </c>
      <c r="I14" s="4">
        <f>PRODUCT(Table1[[#This Row],[Quantity]],Table1[[#This Row],[Price]])</f>
        <v>7199.9673000000003</v>
      </c>
      <c r="J14" t="s">
        <v>14</v>
      </c>
    </row>
    <row r="15" spans="1:10" x14ac:dyDescent="0.35">
      <c r="A15">
        <v>10466</v>
      </c>
      <c r="B15" s="1">
        <v>44875</v>
      </c>
      <c r="C15" t="s">
        <v>22</v>
      </c>
      <c r="D15">
        <v>9.9499999999999993</v>
      </c>
      <c r="E15">
        <v>201.01</v>
      </c>
      <c r="F15" t="s">
        <v>16</v>
      </c>
      <c r="G15" t="s">
        <v>19</v>
      </c>
      <c r="H15" t="s">
        <v>25</v>
      </c>
      <c r="I15" s="4">
        <f>PRODUCT(Table1[[#This Row],[Quantity]],Table1[[#This Row],[Price]])</f>
        <v>2000.0494999999999</v>
      </c>
      <c r="J15" t="s">
        <v>14</v>
      </c>
    </row>
    <row r="16" spans="1:10" x14ac:dyDescent="0.35">
      <c r="A16">
        <v>10467</v>
      </c>
      <c r="B16" s="1">
        <v>44875</v>
      </c>
      <c r="C16" t="s">
        <v>9</v>
      </c>
      <c r="D16">
        <v>3.49</v>
      </c>
      <c r="E16">
        <v>573.07000000000005</v>
      </c>
      <c r="F16" t="s">
        <v>16</v>
      </c>
      <c r="G16" t="s">
        <v>19</v>
      </c>
      <c r="H16" t="s">
        <v>25</v>
      </c>
      <c r="I16" s="4">
        <f>PRODUCT(Table1[[#This Row],[Quantity]],Table1[[#This Row],[Price]])</f>
        <v>2000.0143000000003</v>
      </c>
      <c r="J16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5B36-4BB6-471E-A66F-CE8E5C9C32CE}">
  <dimension ref="A3:B89"/>
  <sheetViews>
    <sheetView topLeftCell="A56" workbookViewId="0">
      <selection activeCell="A53" sqref="A53"/>
    </sheetView>
  </sheetViews>
  <sheetFormatPr defaultRowHeight="14.5" x14ac:dyDescent="0.35"/>
  <cols>
    <col min="1" max="1" width="18.7265625" customWidth="1"/>
    <col min="2" max="2" width="17.7265625" customWidth="1"/>
  </cols>
  <sheetData>
    <row r="3" spans="1:2" x14ac:dyDescent="0.35">
      <c r="A3" s="3" t="s">
        <v>28</v>
      </c>
      <c r="B3" t="s">
        <v>6</v>
      </c>
    </row>
    <row r="4" spans="1:2" x14ac:dyDescent="0.35">
      <c r="A4" s="2" t="s">
        <v>19</v>
      </c>
      <c r="B4">
        <v>12</v>
      </c>
    </row>
    <row r="5" spans="1:2" x14ac:dyDescent="0.35">
      <c r="A5" s="2" t="s">
        <v>11</v>
      </c>
      <c r="B5">
        <v>3</v>
      </c>
    </row>
    <row r="6" spans="1:2" x14ac:dyDescent="0.35">
      <c r="A6" s="2" t="s">
        <v>29</v>
      </c>
      <c r="B6">
        <v>15</v>
      </c>
    </row>
    <row r="9" spans="1:2" x14ac:dyDescent="0.35">
      <c r="A9" s="3" t="s">
        <v>28</v>
      </c>
      <c r="B9" t="s">
        <v>30</v>
      </c>
    </row>
    <row r="10" spans="1:2" x14ac:dyDescent="0.35">
      <c r="A10" s="2" t="s">
        <v>13</v>
      </c>
      <c r="B10">
        <v>1423.73</v>
      </c>
    </row>
    <row r="11" spans="1:2" x14ac:dyDescent="0.35">
      <c r="A11" s="2" t="s">
        <v>18</v>
      </c>
      <c r="B11">
        <v>1678.21</v>
      </c>
    </row>
    <row r="12" spans="1:2" x14ac:dyDescent="0.35">
      <c r="A12" s="2" t="s">
        <v>22</v>
      </c>
      <c r="B12">
        <v>603.03</v>
      </c>
    </row>
    <row r="13" spans="1:2" x14ac:dyDescent="0.35">
      <c r="A13" s="2" t="s">
        <v>9</v>
      </c>
      <c r="B13">
        <v>2292.2800000000002</v>
      </c>
    </row>
    <row r="14" spans="1:2" x14ac:dyDescent="0.35">
      <c r="A14" s="2" t="s">
        <v>15</v>
      </c>
      <c r="B14">
        <v>601.20000000000005</v>
      </c>
    </row>
    <row r="15" spans="1:2" x14ac:dyDescent="0.35">
      <c r="A15" s="2" t="s">
        <v>29</v>
      </c>
      <c r="B15">
        <v>6598.45</v>
      </c>
    </row>
    <row r="18" spans="1:2" x14ac:dyDescent="0.35">
      <c r="A18" s="3" t="s">
        <v>28</v>
      </c>
      <c r="B18" t="s">
        <v>32</v>
      </c>
    </row>
    <row r="19" spans="1:2" x14ac:dyDescent="0.35">
      <c r="A19" s="2" t="s">
        <v>13</v>
      </c>
      <c r="B19" s="4">
        <v>4200.0035000000007</v>
      </c>
    </row>
    <row r="20" spans="1:2" x14ac:dyDescent="0.35">
      <c r="A20" s="2" t="s">
        <v>18</v>
      </c>
      <c r="B20" s="4">
        <v>21799.947899999999</v>
      </c>
    </row>
    <row r="21" spans="1:2" x14ac:dyDescent="0.35">
      <c r="A21" s="2" t="s">
        <v>22</v>
      </c>
      <c r="B21" s="4">
        <v>6000.1484999999993</v>
      </c>
    </row>
    <row r="22" spans="1:2" x14ac:dyDescent="0.35">
      <c r="A22" s="2" t="s">
        <v>9</v>
      </c>
      <c r="B22" s="4">
        <v>8000.0572000000011</v>
      </c>
    </row>
    <row r="23" spans="1:2" x14ac:dyDescent="0.35">
      <c r="A23" s="2" t="s">
        <v>15</v>
      </c>
      <c r="B23" s="4">
        <v>2999.9880000000003</v>
      </c>
    </row>
    <row r="24" spans="1:2" x14ac:dyDescent="0.35">
      <c r="A24" s="2" t="s">
        <v>29</v>
      </c>
      <c r="B24" s="4">
        <v>43000.145099999994</v>
      </c>
    </row>
    <row r="27" spans="1:2" x14ac:dyDescent="0.35">
      <c r="A27" s="3" t="s">
        <v>28</v>
      </c>
      <c r="B27" t="s">
        <v>34</v>
      </c>
    </row>
    <row r="28" spans="1:2" x14ac:dyDescent="0.35">
      <c r="A28" s="2" t="s">
        <v>21</v>
      </c>
      <c r="B28" s="4">
        <v>10400.058799999999</v>
      </c>
    </row>
    <row r="29" spans="1:2" x14ac:dyDescent="0.35">
      <c r="A29" s="2" t="s">
        <v>17</v>
      </c>
      <c r="B29" s="4">
        <v>999.99600000000009</v>
      </c>
    </row>
    <row r="30" spans="1:2" x14ac:dyDescent="0.35">
      <c r="A30" s="2" t="s">
        <v>12</v>
      </c>
      <c r="B30" s="4">
        <v>2000.0143000000003</v>
      </c>
    </row>
    <row r="31" spans="1:2" x14ac:dyDescent="0.35">
      <c r="A31" s="2" t="s">
        <v>14</v>
      </c>
      <c r="B31" s="4">
        <v>13400.0231</v>
      </c>
    </row>
    <row r="32" spans="1:2" x14ac:dyDescent="0.35">
      <c r="A32" s="2" t="s">
        <v>23</v>
      </c>
      <c r="B32" s="4">
        <v>16200.052900000002</v>
      </c>
    </row>
    <row r="33" spans="1:2" x14ac:dyDescent="0.35">
      <c r="A33" s="2" t="s">
        <v>29</v>
      </c>
      <c r="B33" s="4">
        <v>43000.145100000002</v>
      </c>
    </row>
    <row r="36" spans="1:2" x14ac:dyDescent="0.35">
      <c r="A36" s="3" t="s">
        <v>28</v>
      </c>
      <c r="B36" t="s">
        <v>33</v>
      </c>
    </row>
    <row r="37" spans="1:2" x14ac:dyDescent="0.35">
      <c r="A37" s="2" t="s">
        <v>27</v>
      </c>
      <c r="B37" s="4">
        <v>999.99600000000009</v>
      </c>
    </row>
    <row r="38" spans="1:2" x14ac:dyDescent="0.35">
      <c r="A38" s="2" t="s">
        <v>25</v>
      </c>
      <c r="B38" s="4">
        <v>13400.0231</v>
      </c>
    </row>
    <row r="39" spans="1:2" x14ac:dyDescent="0.35">
      <c r="A39" s="2" t="s">
        <v>24</v>
      </c>
      <c r="B39" s="4">
        <v>16200.052900000002</v>
      </c>
    </row>
    <row r="40" spans="1:2" x14ac:dyDescent="0.35">
      <c r="A40" s="2" t="s">
        <v>26</v>
      </c>
      <c r="B40" s="4">
        <v>2000.0143000000003</v>
      </c>
    </row>
    <row r="41" spans="1:2" x14ac:dyDescent="0.35">
      <c r="A41" s="2" t="s">
        <v>20</v>
      </c>
      <c r="B41" s="4">
        <v>10400.058799999999</v>
      </c>
    </row>
    <row r="42" spans="1:2" x14ac:dyDescent="0.35">
      <c r="A42" s="2" t="s">
        <v>29</v>
      </c>
      <c r="B42" s="4">
        <v>43000.145100000002</v>
      </c>
    </row>
    <row r="45" spans="1:2" x14ac:dyDescent="0.35">
      <c r="A45" s="3" t="s">
        <v>28</v>
      </c>
      <c r="B45" t="s">
        <v>35</v>
      </c>
    </row>
    <row r="46" spans="1:2" x14ac:dyDescent="0.35">
      <c r="A46" s="5">
        <v>44872</v>
      </c>
      <c r="B46" s="4">
        <v>5200.002300000001</v>
      </c>
    </row>
    <row r="47" spans="1:2" x14ac:dyDescent="0.35">
      <c r="A47" s="5">
        <v>44873</v>
      </c>
      <c r="B47" s="4">
        <v>12400.073100000001</v>
      </c>
    </row>
    <row r="48" spans="1:2" x14ac:dyDescent="0.35">
      <c r="A48" s="5">
        <v>44874</v>
      </c>
      <c r="B48" s="4">
        <v>14200.0386</v>
      </c>
    </row>
    <row r="49" spans="1:2" x14ac:dyDescent="0.35">
      <c r="A49" s="5">
        <v>44875</v>
      </c>
      <c r="B49" s="4">
        <v>11200.0311</v>
      </c>
    </row>
    <row r="50" spans="1:2" x14ac:dyDescent="0.35">
      <c r="A50" s="5" t="s">
        <v>29</v>
      </c>
      <c r="B50" s="4">
        <v>43000.145100000002</v>
      </c>
    </row>
    <row r="53" spans="1:2" x14ac:dyDescent="0.35">
      <c r="A53" t="s">
        <v>41</v>
      </c>
    </row>
    <row r="54" spans="1:2" x14ac:dyDescent="0.35">
      <c r="A54" s="4">
        <v>2866.67634</v>
      </c>
    </row>
    <row r="55" spans="1:2" x14ac:dyDescent="0.35">
      <c r="A55" s="4">
        <f>GETPIVOTDATA("Revenue",$A$53)</f>
        <v>2866.67634</v>
      </c>
    </row>
    <row r="57" spans="1:2" x14ac:dyDescent="0.35">
      <c r="A57" t="s">
        <v>36</v>
      </c>
    </row>
    <row r="58" spans="1:2" x14ac:dyDescent="0.35">
      <c r="A58" s="4">
        <v>2314.7441406895359</v>
      </c>
    </row>
    <row r="59" spans="1:2" x14ac:dyDescent="0.35">
      <c r="A59" s="4">
        <f>GETPIVOTDATA("Revenue",$A$57)</f>
        <v>2314.7441406895359</v>
      </c>
    </row>
    <row r="61" spans="1:2" x14ac:dyDescent="0.35">
      <c r="A61" t="s">
        <v>37</v>
      </c>
    </row>
    <row r="62" spans="1:2" x14ac:dyDescent="0.35">
      <c r="A62" s="4">
        <v>208.30128470444899</v>
      </c>
    </row>
    <row r="63" spans="1:2" x14ac:dyDescent="0.35">
      <c r="A63" s="4">
        <f>GETPIVOTDATA("Quantity",$A$61)</f>
        <v>208.30128470444899</v>
      </c>
    </row>
    <row r="65" spans="1:2" x14ac:dyDescent="0.35">
      <c r="A65" t="s">
        <v>38</v>
      </c>
    </row>
    <row r="66" spans="1:2" x14ac:dyDescent="0.35">
      <c r="A66" s="4">
        <v>5358040.4368565371</v>
      </c>
    </row>
    <row r="67" spans="1:2" x14ac:dyDescent="0.35">
      <c r="A67" s="4">
        <f>GETPIVOTDATA("Revenue",$A$65)</f>
        <v>5358040.4368565371</v>
      </c>
    </row>
    <row r="69" spans="1:2" x14ac:dyDescent="0.35">
      <c r="A69" t="s">
        <v>39</v>
      </c>
    </row>
    <row r="70" spans="1:2" x14ac:dyDescent="0.35">
      <c r="A70" s="4">
        <v>43389.425209523914</v>
      </c>
    </row>
    <row r="71" spans="1:2" x14ac:dyDescent="0.35">
      <c r="A71" s="4">
        <f>GETPIVOTDATA("Quantity",$A$69)</f>
        <v>43389.425209523914</v>
      </c>
    </row>
    <row r="73" spans="1:2" x14ac:dyDescent="0.35">
      <c r="A73" s="3" t="s">
        <v>28</v>
      </c>
      <c r="B73" t="s">
        <v>40</v>
      </c>
    </row>
    <row r="74" spans="1:2" x14ac:dyDescent="0.35">
      <c r="A74" s="2" t="s">
        <v>13</v>
      </c>
      <c r="B74">
        <v>711.86500000000001</v>
      </c>
    </row>
    <row r="75" spans="1:2" x14ac:dyDescent="0.35">
      <c r="A75" s="2" t="s">
        <v>18</v>
      </c>
      <c r="B75">
        <v>559.40333333333331</v>
      </c>
    </row>
    <row r="76" spans="1:2" x14ac:dyDescent="0.35">
      <c r="A76" s="2" t="s">
        <v>22</v>
      </c>
      <c r="B76">
        <v>201.01</v>
      </c>
    </row>
    <row r="77" spans="1:2" x14ac:dyDescent="0.35">
      <c r="A77" s="2" t="s">
        <v>9</v>
      </c>
      <c r="B77">
        <v>573.07000000000005</v>
      </c>
    </row>
    <row r="78" spans="1:2" x14ac:dyDescent="0.35">
      <c r="A78" s="2" t="s">
        <v>15</v>
      </c>
      <c r="B78">
        <v>200.4</v>
      </c>
    </row>
    <row r="79" spans="1:2" x14ac:dyDescent="0.35">
      <c r="A79" s="2" t="s">
        <v>29</v>
      </c>
      <c r="B79">
        <v>439.89666666666653</v>
      </c>
    </row>
    <row r="83" spans="1:2" x14ac:dyDescent="0.35">
      <c r="A83" s="3" t="s">
        <v>28</v>
      </c>
      <c r="B83" t="s">
        <v>41</v>
      </c>
    </row>
    <row r="84" spans="1:2" x14ac:dyDescent="0.35">
      <c r="A84" s="2" t="s">
        <v>13</v>
      </c>
      <c r="B84" s="4">
        <v>2100.0017500000004</v>
      </c>
    </row>
    <row r="85" spans="1:2" x14ac:dyDescent="0.35">
      <c r="A85" s="2" t="s">
        <v>18</v>
      </c>
      <c r="B85" s="4">
        <v>7266.6493</v>
      </c>
    </row>
    <row r="86" spans="1:2" x14ac:dyDescent="0.35">
      <c r="A86" s="2" t="s">
        <v>22</v>
      </c>
      <c r="B86" s="4">
        <v>2000.0494999999999</v>
      </c>
    </row>
    <row r="87" spans="1:2" x14ac:dyDescent="0.35">
      <c r="A87" s="2" t="s">
        <v>9</v>
      </c>
      <c r="B87" s="4">
        <v>2000.0143000000003</v>
      </c>
    </row>
    <row r="88" spans="1:2" x14ac:dyDescent="0.35">
      <c r="A88" s="2" t="s">
        <v>15</v>
      </c>
      <c r="B88" s="4">
        <v>999.99600000000009</v>
      </c>
    </row>
    <row r="89" spans="1:2" x14ac:dyDescent="0.35">
      <c r="A89" s="2" t="s">
        <v>29</v>
      </c>
      <c r="B89" s="4">
        <v>2866.6763400000004</v>
      </c>
    </row>
  </sheetData>
  <pageMargins left="0.7" right="0.7" top="0.75" bottom="0.75" header="0.3" footer="0.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79F4-61A9-4343-AA4A-F968196D7D05}">
  <dimension ref="A1"/>
  <sheetViews>
    <sheetView showGridLines="0" tabSelected="1" topLeftCell="A2" zoomScale="70" zoomScaleNormal="70" workbookViewId="0">
      <selection activeCell="AA15" sqref="AA15"/>
    </sheetView>
  </sheetViews>
  <sheetFormatPr defaultRowHeight="14.5" x14ac:dyDescent="0.35"/>
  <cols>
    <col min="1" max="16384" width="8.7265625" style="6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Sales-Data-Analysis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Meezy</dc:creator>
  <cp:lastModifiedBy>Meezy</cp:lastModifiedBy>
  <dcterms:created xsi:type="dcterms:W3CDTF">2026-02-13T14:21:33Z</dcterms:created>
  <dcterms:modified xsi:type="dcterms:W3CDTF">2026-02-18T12:56:29Z</dcterms:modified>
</cp:coreProperties>
</file>